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29e4ec028c6afbe/Desktop/Continentel coffee/"/>
    </mc:Choice>
  </mc:AlternateContent>
  <xr:revisionPtr revIDLastSave="48" documentId="8_{4A58B11A-DF19-4764-B6F1-7EADE426DACE}" xr6:coauthVersionLast="36" xr6:coauthVersionMax="36" xr10:uidLastSave="{911681B5-C975-4D6D-8D89-E8F642302C70}"/>
  <bookViews>
    <workbookView xWindow="0" yWindow="0" windowWidth="23040" windowHeight="10284" activeTab="1" xr2:uid="{00000000-000D-0000-FFFF-FFFF00000000}"/>
  </bookViews>
  <sheets>
    <sheet name="TSM,SO,TSI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3" i="3" l="1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J43" i="3"/>
  <c r="H43" i="3"/>
  <c r="I43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S45" i="3" l="1"/>
</calcChain>
</file>

<file path=xl/sharedStrings.xml><?xml version="1.0" encoding="utf-8"?>
<sst xmlns="http://schemas.openxmlformats.org/spreadsheetml/2006/main" count="139" uniqueCount="47">
  <si>
    <t>CONTINENTAL COFFEE</t>
  </si>
  <si>
    <t>NAME:</t>
  </si>
  <si>
    <t>MONTH &amp; YEAR:</t>
  </si>
  <si>
    <t>EMPLOYEE CODE:</t>
  </si>
  <si>
    <t xml:space="preserve">CHANNEL(Inst/GT/MT/Bulk): </t>
  </si>
  <si>
    <t>DESIGNATION:</t>
  </si>
  <si>
    <t>DATE</t>
  </si>
  <si>
    <t>FROM</t>
  </si>
  <si>
    <t>TO</t>
  </si>
  <si>
    <t>DA</t>
  </si>
  <si>
    <t>MOBILE</t>
  </si>
  <si>
    <t>TOTAL AMOUNT</t>
  </si>
  <si>
    <t>Rs.</t>
  </si>
  <si>
    <t>HEAD QUARTER:</t>
  </si>
  <si>
    <t>LODGING</t>
  </si>
  <si>
    <t xml:space="preserve">WITH BILLS </t>
  </si>
  <si>
    <t>WITHOUT BILLS</t>
  </si>
  <si>
    <t>SUB TOTALS</t>
  </si>
  <si>
    <t>SUBMITTED BY</t>
  </si>
  <si>
    <t>FOR OFFICE USE ONLY</t>
  </si>
  <si>
    <t>OTHER EXPENSES</t>
  </si>
  <si>
    <t>INCIDENTAL EXPENSES</t>
  </si>
  <si>
    <t>PARTICULARS</t>
  </si>
  <si>
    <t>TRAVEL ALLOWANCEs</t>
  </si>
  <si>
    <t>AMOUNT (Rs.)</t>
  </si>
  <si>
    <t>BUS/TRAIN (Rs.)</t>
  </si>
  <si>
    <t>AUTO (Rs.)</t>
  </si>
  <si>
    <t>CAB (Rs.)</t>
  </si>
  <si>
    <t>XEROX (Rs.)</t>
  </si>
  <si>
    <t xml:space="preserve">   COURIER (Rs.)</t>
  </si>
  <si>
    <t xml:space="preserve">PARKING (Rs.) </t>
  </si>
  <si>
    <t>FOOD   (Rs.)</t>
  </si>
  <si>
    <t>TOTAL AMOUNT (Rs.)</t>
  </si>
  <si>
    <t>EMPLOYEE  TRAVEL EXPENSE CLAIM FORM</t>
  </si>
  <si>
    <t>AUTHORISED SIGNATORY</t>
  </si>
  <si>
    <t>BIKE(UPTO 125KM)</t>
  </si>
  <si>
    <t>NO. OF KMS</t>
  </si>
  <si>
    <t>BHILAI</t>
  </si>
  <si>
    <t>ROHIT KUMAR SAHU</t>
  </si>
  <si>
    <t>SO</t>
  </si>
  <si>
    <t>GT</t>
  </si>
  <si>
    <t>W/OFF</t>
  </si>
  <si>
    <t>RAIPUR</t>
  </si>
  <si>
    <t>DURG</t>
  </si>
  <si>
    <t>TOTAL</t>
  </si>
  <si>
    <t>BEMETARA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</si>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</sst>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5" fillId="0" borderId="6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2" fillId="0" borderId="0" xfId="0" applyFont="1"/>
    <xf numFmtId="0" fontId="4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3" xfId="0" applyFont="1" applyBorder="1" applyProtection="1">
      <protection locked="0"/>
    </xf>
    <xf numFmtId="0" fontId="2" fillId="0" borderId="27" xfId="0" applyFont="1" applyBorder="1" applyProtection="1">
      <protection locked="0"/>
    </xf>
    <xf numFmtId="0" fontId="2" fillId="0" borderId="2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0" borderId="14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1" fillId="0" borderId="0" xfId="0" applyFont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14" fontId="2" fillId="0" borderId="22" xfId="0" applyNumberFormat="1" applyFont="1" applyBorder="1" applyProtection="1">
      <protection locked="0"/>
    </xf>
    <xf numFmtId="0" fontId="3" fillId="0" borderId="8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0" xfId="0" applyFont="1" applyAlignment="1">
      <alignment horizontal="center"/>
    </xf>
    <xf numFmtId="14" fontId="3" fillId="0" borderId="22" xfId="0" applyNumberFormat="1" applyFont="1" applyBorder="1" applyAlignment="1" applyProtection="1">
      <alignment horizontal="left"/>
      <protection locked="0"/>
    </xf>
    <xf numFmtId="0" fontId="8" fillId="2" borderId="8" xfId="0" applyFont="1" applyFill="1" applyBorder="1" applyAlignment="1" applyProtection="1">
      <alignment horizontal="left"/>
      <protection locked="0"/>
    </xf>
    <xf numFmtId="0" fontId="3" fillId="0" borderId="23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left"/>
      <protection locked="0"/>
    </xf>
    <xf numFmtId="0" fontId="3" fillId="0" borderId="24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8" fillId="2" borderId="30" xfId="0" applyFont="1" applyFill="1" applyBorder="1" applyAlignment="1" applyProtection="1">
      <alignment horizontal="left"/>
      <protection locked="0"/>
    </xf>
    <xf numFmtId="0" fontId="3" fillId="0" borderId="30" xfId="0" applyFont="1" applyBorder="1" applyAlignment="1" applyProtection="1">
      <alignment horizontal="left"/>
      <protection locked="0"/>
    </xf>
    <xf numFmtId="0" fontId="7" fillId="0" borderId="0" xfId="0" applyFont="1"/>
    <xf numFmtId="0" fontId="3" fillId="3" borderId="8" xfId="0" applyFont="1" applyFill="1" applyBorder="1" applyAlignment="1" applyProtection="1">
      <alignment horizontal="left"/>
      <protection locked="0"/>
    </xf>
    <xf numFmtId="0" fontId="3" fillId="3" borderId="24" xfId="0" applyFont="1" applyFill="1" applyBorder="1" applyAlignment="1" applyProtection="1">
      <alignment horizontal="left"/>
      <protection locked="0"/>
    </xf>
    <xf numFmtId="0" fontId="3" fillId="0" borderId="0" xfId="0" applyFont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14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1" fillId="0" borderId="7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3" borderId="8" xfId="0" applyFont="1" applyFill="1" applyBorder="1" applyAlignment="1">
      <alignment horizontal="left"/>
    </xf>
    <xf numFmtId="0" fontId="3" fillId="0" borderId="12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5" fillId="0" borderId="18" xfId="0" applyFont="1" applyBorder="1" applyAlignment="1" applyProtection="1">
      <alignment horizontal="left"/>
      <protection locked="0"/>
    </xf>
    <xf numFmtId="0" fontId="5" fillId="0" borderId="15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7" xfId="0" applyFont="1" applyBorder="1" applyAlignment="1" applyProtection="1">
      <alignment horizontal="left"/>
      <protection locked="0"/>
    </xf>
    <xf numFmtId="17" fontId="5" fillId="0" borderId="7" xfId="0" applyNumberFormat="1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533400</xdr:colOff>
      <xdr:row>1</xdr:row>
      <xdr:rowOff>307538</xdr:rowOff>
    </xdr:from>
    <xdr:to>
      <xdr:col>18</xdr:col>
      <xdr:colOff>617220</xdr:colOff>
      <xdr:row>4</xdr:row>
      <xdr:rowOff>230302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67" t="1882" r="9313" b="24749"/>
        <a:stretch/>
      </xdr:blipFill>
      <xdr:spPr bwMode="auto">
        <a:xfrm>
          <a:off x="18074640" y="1244798"/>
          <a:ext cx="769620" cy="86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533400</xdr:colOff>
      <xdr:row>1</xdr:row>
      <xdr:rowOff>307538</xdr:rowOff>
    </xdr:from>
    <xdr:to>
      <xdr:col>18</xdr:col>
      <xdr:colOff>617220</xdr:colOff>
      <xdr:row>4</xdr:row>
      <xdr:rowOff>230302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67" t="1882" r="9313" b="24749"/>
        <a:stretch/>
      </xdr:blipFill>
      <xdr:spPr bwMode="auto">
        <a:xfrm>
          <a:off x="15954375" y="621863"/>
          <a:ext cx="750570" cy="865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applyStyles="1"/>
    <pageSetUpPr fitToPage="1"/>
  </sheetPr>
  <dimension ref="B2:S38"/>
  <sheetViews>
    <sheetView showGridLines="0" topLeftCell="F4" workbookViewId="0">
      <selection activeCell="C39" sqref="C39"/>
    </sheetView>
  </sheetViews>
  <sheetFormatPr defaultColWidth="8.88671875" defaultRowHeight="25.2" customHeight="1" x14ac:dyDescent="0.3"/>
  <cols>
    <col min="2" max="2" width="20.33203125" customWidth="1"/>
    <col min="3" max="3" width="24.5546875" customWidth="1"/>
    <col min="4" max="4" width="25.44140625" customWidth="1"/>
    <col min="5" max="5" width="11.5546875" customWidth="1"/>
    <col min="6" max="6" width="9.109375" customWidth="1"/>
    <col min="7" max="7" width="7.33203125" customWidth="1"/>
    <col min="8" max="8" width="10.5546875" customWidth="1"/>
    <col min="9" max="9" width="13" customWidth="1"/>
    <col min="10" max="10" width="9.5546875" customWidth="1"/>
    <col min="11" max="11" width="11.33203125" customWidth="1"/>
    <col min="12" max="12" width="11.6640625" customWidth="1"/>
    <col min="13" max="13" width="9.109375" customWidth="1"/>
    <col min="14" max="14" width="10.5546875" customWidth="1"/>
    <col min="15" max="15" width="12.5546875" customWidth="1"/>
    <col min="16" max="16" width="8.44140625" customWidth="1"/>
    <col min="17" max="17" width="27.33203125" customWidth="1"/>
    <col min="18" max="18" width="10" customWidth="1"/>
    <col min="19" max="20" width="10.33203125" customWidth="1"/>
  </cols>
  <sheetData>
    <row r="2" spans="2:19" ht="25.2" customHeight="1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25.2" customHeight="1" x14ac:dyDescent="0.3">
      <c r="B3" s="48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2:19" ht="25.2" customHeight="1" x14ac:dyDescent="0.3">
      <c r="B4" s="48" t="s">
        <v>33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</row>
    <row r="5" spans="2:19" ht="25.2" customHeight="1" thickBot="1" x14ac:dyDescent="0.35">
      <c r="B5" s="2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25.2" customHeight="1" x14ac:dyDescent="0.3">
      <c r="B6" s="1" t="s">
        <v>1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3" t="s">
        <v>2</v>
      </c>
      <c r="N6" s="73"/>
      <c r="O6" s="73"/>
      <c r="P6" s="65"/>
      <c r="Q6" s="65"/>
      <c r="R6" s="65"/>
      <c r="S6" s="66"/>
    </row>
    <row r="7" spans="2:19" ht="25.2" customHeight="1" x14ac:dyDescent="0.3">
      <c r="B7" s="2" t="s">
        <v>3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4" t="s">
        <v>4</v>
      </c>
      <c r="N7" s="74"/>
      <c r="O7" s="74"/>
      <c r="P7" s="67"/>
      <c r="Q7" s="67"/>
      <c r="R7" s="67"/>
      <c r="S7" s="68"/>
    </row>
    <row r="8" spans="2:19" ht="25.2" customHeight="1" thickBot="1" x14ac:dyDescent="0.35">
      <c r="B8" s="3" t="s">
        <v>5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75" t="s">
        <v>13</v>
      </c>
      <c r="N8" s="75"/>
      <c r="O8" s="75"/>
      <c r="P8" s="69"/>
      <c r="Q8" s="69"/>
      <c r="R8" s="69"/>
      <c r="S8" s="70"/>
    </row>
    <row r="9" spans="2:19" ht="15.75" customHeight="1" thickBot="1" x14ac:dyDescent="0.35">
      <c r="B9" s="51" t="s">
        <v>6</v>
      </c>
      <c r="C9" s="52" t="s">
        <v>7</v>
      </c>
      <c r="D9" s="54" t="s">
        <v>8</v>
      </c>
      <c r="E9" s="56" t="s">
        <v>23</v>
      </c>
      <c r="F9" s="56"/>
      <c r="G9" s="56"/>
      <c r="H9" s="56"/>
      <c r="I9" s="56"/>
      <c r="J9" s="54" t="s">
        <v>9</v>
      </c>
      <c r="K9" s="57" t="s">
        <v>14</v>
      </c>
      <c r="L9" s="58"/>
      <c r="M9" s="59" t="s">
        <v>20</v>
      </c>
      <c r="N9" s="52"/>
      <c r="O9" s="52"/>
      <c r="P9" s="52"/>
      <c r="Q9" s="40" t="s">
        <v>21</v>
      </c>
      <c r="R9" s="41"/>
      <c r="S9" s="60" t="s">
        <v>32</v>
      </c>
    </row>
    <row r="10" spans="2:19" ht="25.5" customHeight="1" thickBot="1" x14ac:dyDescent="0.35">
      <c r="B10" s="51"/>
      <c r="C10" s="52"/>
      <c r="D10" s="54"/>
      <c r="E10" s="42" t="s">
        <v>25</v>
      </c>
      <c r="F10" s="63" t="s">
        <v>26</v>
      </c>
      <c r="G10" s="42" t="s">
        <v>27</v>
      </c>
      <c r="H10" s="64" t="s">
        <v>35</v>
      </c>
      <c r="I10" s="64"/>
      <c r="J10" s="54"/>
      <c r="K10" s="63" t="s">
        <v>15</v>
      </c>
      <c r="L10" s="42" t="s">
        <v>16</v>
      </c>
      <c r="M10" s="49" t="s">
        <v>28</v>
      </c>
      <c r="N10" s="63" t="s">
        <v>29</v>
      </c>
      <c r="O10" s="42" t="s">
        <v>30</v>
      </c>
      <c r="P10" s="42" t="s">
        <v>31</v>
      </c>
      <c r="Q10" s="42" t="s">
        <v>22</v>
      </c>
      <c r="R10" s="42" t="s">
        <v>24</v>
      </c>
      <c r="S10" s="61"/>
    </row>
    <row r="11" spans="2:19" ht="25.5" customHeight="1" thickBot="1" x14ac:dyDescent="0.35">
      <c r="B11" s="43"/>
      <c r="C11" s="53"/>
      <c r="D11" s="55"/>
      <c r="E11" s="43"/>
      <c r="F11" s="53"/>
      <c r="G11" s="43"/>
      <c r="H11" s="22" t="s">
        <v>36</v>
      </c>
      <c r="I11" s="5" t="s">
        <v>12</v>
      </c>
      <c r="J11" s="55"/>
      <c r="K11" s="53"/>
      <c r="L11" s="43"/>
      <c r="M11" s="50"/>
      <c r="N11" s="53"/>
      <c r="O11" s="43"/>
      <c r="P11" s="43"/>
      <c r="Q11" s="43"/>
      <c r="R11" s="43"/>
      <c r="S11" s="62"/>
    </row>
    <row r="12" spans="2:19" ht="25.2" customHeight="1" x14ac:dyDescent="0.3">
      <c r="B12" s="23">
        <v>45292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9"/>
      <c r="S12" s="10"/>
    </row>
    <row r="13" spans="2:19" ht="25.2" customHeight="1" x14ac:dyDescent="0.3">
      <c r="B13" s="23">
        <v>45293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  <c r="R13" s="12"/>
      <c r="S13" s="13"/>
    </row>
    <row r="14" spans="2:19" ht="25.2" customHeight="1" x14ac:dyDescent="0.3">
      <c r="B14" s="23">
        <v>45294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2"/>
      <c r="S14" s="13"/>
    </row>
    <row r="15" spans="2:19" ht="25.2" customHeight="1" x14ac:dyDescent="0.3">
      <c r="B15" s="23">
        <v>45295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2"/>
      <c r="S15" s="13"/>
    </row>
    <row r="16" spans="2:19" ht="25.2" customHeight="1" x14ac:dyDescent="0.3">
      <c r="B16" s="23">
        <v>45296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2"/>
      <c r="S16" s="13"/>
    </row>
    <row r="17" spans="2:19" ht="25.2" customHeight="1" x14ac:dyDescent="0.3">
      <c r="B17" s="23">
        <v>45297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2"/>
      <c r="S17" s="13"/>
    </row>
    <row r="18" spans="2:19" ht="25.2" customHeight="1" x14ac:dyDescent="0.3">
      <c r="B18" s="23">
        <v>45298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  <c r="R18" s="12"/>
      <c r="S18" s="13"/>
    </row>
    <row r="19" spans="2:19" ht="25.2" customHeight="1" x14ac:dyDescent="0.3">
      <c r="B19" s="23">
        <v>45299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2"/>
      <c r="S19" s="13"/>
    </row>
    <row r="20" spans="2:19" ht="25.2" customHeight="1" x14ac:dyDescent="0.3">
      <c r="B20" s="23">
        <v>45300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2"/>
      <c r="S20" s="13"/>
    </row>
    <row r="21" spans="2:19" ht="25.2" customHeight="1" x14ac:dyDescent="0.3">
      <c r="B21" s="23">
        <v>45301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12"/>
      <c r="S21" s="13"/>
    </row>
    <row r="22" spans="2:19" ht="25.2" customHeight="1" x14ac:dyDescent="0.3">
      <c r="B22" s="23">
        <v>45302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12"/>
      <c r="S22" s="13"/>
    </row>
    <row r="23" spans="2:19" ht="25.2" customHeight="1" x14ac:dyDescent="0.3">
      <c r="B23" s="23">
        <v>45303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12"/>
      <c r="S23" s="13"/>
    </row>
    <row r="24" spans="2:19" ht="25.2" customHeight="1" x14ac:dyDescent="0.3">
      <c r="B24" s="23">
        <v>45304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2"/>
      <c r="S24" s="13"/>
    </row>
    <row r="25" spans="2:19" ht="25.2" customHeight="1" x14ac:dyDescent="0.3">
      <c r="B25" s="23">
        <v>45305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  <c r="R25" s="12"/>
      <c r="S25" s="13"/>
    </row>
    <row r="26" spans="2:19" ht="25.2" customHeight="1" x14ac:dyDescent="0.3">
      <c r="B26" s="23">
        <v>45306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12"/>
      <c r="S26" s="13"/>
    </row>
    <row r="27" spans="2:19" ht="25.2" customHeight="1" x14ac:dyDescent="0.3">
      <c r="B27" s="23">
        <v>45307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12"/>
      <c r="S27" s="13"/>
    </row>
    <row r="28" spans="2:19" ht="25.2" customHeight="1" x14ac:dyDescent="0.3">
      <c r="B28" s="23">
        <v>45308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2"/>
      <c r="R28" s="12"/>
      <c r="S28" s="13"/>
    </row>
    <row r="29" spans="2:19" ht="25.2" customHeight="1" x14ac:dyDescent="0.3">
      <c r="B29" s="23">
        <v>45309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2"/>
      <c r="R29" s="12"/>
      <c r="S29" s="13"/>
    </row>
    <row r="30" spans="2:19" ht="25.2" customHeight="1" x14ac:dyDescent="0.3">
      <c r="B30" s="23">
        <v>45310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/>
      <c r="R30" s="12"/>
      <c r="S30" s="13"/>
    </row>
    <row r="31" spans="2:19" ht="25.2" customHeight="1" thickBot="1" x14ac:dyDescent="0.35">
      <c r="B31" s="23">
        <v>45311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2"/>
      <c r="R31" s="12"/>
      <c r="S31" s="13"/>
    </row>
    <row r="32" spans="2:19" ht="25.2" customHeight="1" thickBot="1" x14ac:dyDescent="0.35">
      <c r="B32" s="78" t="s">
        <v>17</v>
      </c>
      <c r="C32" s="79"/>
      <c r="D32" s="80"/>
      <c r="E32" s="14"/>
      <c r="F32" s="14"/>
      <c r="G32" s="14"/>
      <c r="H32" s="14"/>
      <c r="I32" s="15"/>
      <c r="J32" s="16"/>
      <c r="K32" s="18"/>
      <c r="L32" s="17"/>
      <c r="M32" s="18"/>
      <c r="N32" s="17"/>
      <c r="O32" s="18"/>
      <c r="P32" s="18"/>
      <c r="Q32" s="19"/>
      <c r="R32" s="19"/>
      <c r="S32" s="19"/>
    </row>
    <row r="33" spans="2:19" ht="25.2" customHeight="1" thickBot="1" x14ac:dyDescent="0.35">
      <c r="B33" s="6"/>
      <c r="C33" s="6"/>
      <c r="D33" s="6"/>
      <c r="E33" s="6"/>
      <c r="F33" s="6"/>
      <c r="G33" s="6"/>
      <c r="H33" s="6"/>
      <c r="I33" s="6"/>
      <c r="J33" s="4"/>
      <c r="K33" s="4"/>
      <c r="L33" s="4"/>
      <c r="M33" s="4"/>
      <c r="N33" s="4"/>
      <c r="O33" s="4"/>
      <c r="P33" s="4"/>
      <c r="Q33" s="44" t="s">
        <v>10</v>
      </c>
      <c r="R33" s="45"/>
      <c r="S33" s="20"/>
    </row>
    <row r="34" spans="2:19" s="4" customFormat="1" ht="25.2" customHeight="1" thickBot="1" x14ac:dyDescent="0.3">
      <c r="B34" s="6"/>
      <c r="C34" s="6"/>
      <c r="D34" s="6"/>
      <c r="E34" s="6"/>
      <c r="F34" s="6"/>
      <c r="G34" s="6"/>
      <c r="H34" s="6"/>
      <c r="I34" s="6"/>
      <c r="J34" s="6"/>
      <c r="Q34" s="46" t="s">
        <v>11</v>
      </c>
      <c r="R34" s="47"/>
      <c r="S34" s="18"/>
    </row>
    <row r="35" spans="2:19" ht="25.2" customHeight="1" x14ac:dyDescent="0.3">
      <c r="B35" s="6"/>
      <c r="C35" s="6"/>
      <c r="D35" s="6"/>
      <c r="E35" s="6"/>
      <c r="F35" s="6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7"/>
    </row>
    <row r="36" spans="2:19" ht="25.2" customHeight="1" x14ac:dyDescent="0.3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spans="2:19" ht="25.2" customHeight="1" x14ac:dyDescent="0.3"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</row>
    <row r="38" spans="2:19" ht="25.2" customHeight="1" x14ac:dyDescent="0.3">
      <c r="B38" s="6" t="s">
        <v>18</v>
      </c>
      <c r="C38" s="4"/>
      <c r="D38" s="7"/>
      <c r="E38" s="7" t="s">
        <v>34</v>
      </c>
      <c r="F38" s="7"/>
      <c r="G38" s="7"/>
      <c r="H38" s="7"/>
      <c r="I38" s="7"/>
      <c r="J38" s="4"/>
      <c r="K38" s="4"/>
      <c r="L38" s="7" t="s">
        <v>34</v>
      </c>
      <c r="M38" s="4"/>
      <c r="N38" s="7"/>
      <c r="O38" s="4"/>
      <c r="P38" s="7"/>
      <c r="Q38" s="39" t="s">
        <v>19</v>
      </c>
      <c r="R38" s="39"/>
      <c r="S38" s="39"/>
    </row>
  </sheetData>
  <sheetProtection sheet="1" objects="1" scenarios="1"/>
  <mergeCells count="38">
    <mergeCell ref="P6:S6"/>
    <mergeCell ref="P7:S7"/>
    <mergeCell ref="P8:S8"/>
    <mergeCell ref="B36:P36"/>
    <mergeCell ref="B37:P37"/>
    <mergeCell ref="M6:O6"/>
    <mergeCell ref="M7:O7"/>
    <mergeCell ref="M8:O8"/>
    <mergeCell ref="C6:L6"/>
    <mergeCell ref="C7:L7"/>
    <mergeCell ref="C8:L8"/>
    <mergeCell ref="K10:K11"/>
    <mergeCell ref="B32:D32"/>
    <mergeCell ref="N10:N11"/>
    <mergeCell ref="O10:O11"/>
    <mergeCell ref="P10:P11"/>
    <mergeCell ref="B3:S3"/>
    <mergeCell ref="L10:L11"/>
    <mergeCell ref="M10:M11"/>
    <mergeCell ref="B4:S4"/>
    <mergeCell ref="B9:B11"/>
    <mergeCell ref="C9:C11"/>
    <mergeCell ref="D9:D11"/>
    <mergeCell ref="E9:I9"/>
    <mergeCell ref="J9:J11"/>
    <mergeCell ref="K9:L9"/>
    <mergeCell ref="M9:P9"/>
    <mergeCell ref="S9:S11"/>
    <mergeCell ref="E10:E11"/>
    <mergeCell ref="F10:F11"/>
    <mergeCell ref="G10:G11"/>
    <mergeCell ref="H10:I10"/>
    <mergeCell ref="Q38:S38"/>
    <mergeCell ref="Q9:R9"/>
    <mergeCell ref="Q10:Q11"/>
    <mergeCell ref="R10:R11"/>
    <mergeCell ref="Q33:R33"/>
    <mergeCell ref="Q34:R34"/>
  </mergeCells>
  <pageMargins left="0.25" right="0.25" top="0.5" bottom="0.38" header="0.3" footer="0.3"/>
  <pageSetup paperSize="9" scale="5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50"/>
  <sheetViews>
    <sheetView tabSelected="1" topLeftCell="E32" workbookViewId="0">
      <selection activeCell="U49" sqref="U49"/>
    </sheetView>
  </sheetViews>
  <sheetFormatPr defaultColWidth="8.88671875" defaultRowHeight="25.2" customHeight="1" x14ac:dyDescent="0.3"/>
  <cols>
    <col min="2" max="2" width="20" bestFit="1" customWidth="1"/>
    <col min="3" max="3" width="10.33203125" customWidth="1"/>
    <col min="4" max="4" width="30.6640625" bestFit="1" customWidth="1"/>
    <col min="5" max="5" width="11.5546875" customWidth="1"/>
    <col min="6" max="6" width="9.109375" customWidth="1"/>
    <col min="7" max="7" width="7.33203125" customWidth="1"/>
    <col min="8" max="8" width="10.5546875" customWidth="1"/>
    <col min="9" max="9" width="13" customWidth="1"/>
    <col min="10" max="10" width="9.5546875" customWidth="1"/>
    <col min="11" max="11" width="11.33203125" customWidth="1"/>
    <col min="12" max="12" width="11.6640625" customWidth="1"/>
    <col min="13" max="13" width="9.109375" customWidth="1"/>
    <col min="14" max="14" width="10.5546875" customWidth="1"/>
    <col min="15" max="15" width="12.5546875" customWidth="1"/>
    <col min="16" max="16" width="8.44140625" customWidth="1"/>
    <col min="17" max="17" width="27.33203125" customWidth="1"/>
    <col min="18" max="18" width="10" customWidth="1"/>
    <col min="19" max="20" width="10.33203125" customWidth="1"/>
  </cols>
  <sheetData>
    <row r="2" spans="2:19" ht="25.2" customHeight="1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25.2" customHeight="1" x14ac:dyDescent="0.3">
      <c r="B3" s="48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2:19" ht="25.2" customHeight="1" x14ac:dyDescent="0.3">
      <c r="B4" s="48" t="s">
        <v>33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</row>
    <row r="5" spans="2:19" ht="25.2" customHeight="1" thickBot="1" x14ac:dyDescent="0.35">
      <c r="B5" s="2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25.2" customHeight="1" x14ac:dyDescent="0.3">
      <c r="B6" s="1" t="s">
        <v>1</v>
      </c>
      <c r="C6" s="87" t="s">
        <v>38</v>
      </c>
      <c r="D6" s="87"/>
      <c r="E6" s="87"/>
      <c r="F6" s="87"/>
      <c r="G6" s="87"/>
      <c r="H6" s="87"/>
      <c r="I6" s="87"/>
      <c r="J6" s="87"/>
      <c r="K6" s="87"/>
      <c r="L6" s="87"/>
      <c r="M6" s="73" t="s">
        <v>2</v>
      </c>
      <c r="N6" s="73"/>
      <c r="O6" s="73"/>
      <c r="P6" s="88">
        <v>46199</v>
      </c>
      <c r="Q6" s="65"/>
      <c r="R6" s="65"/>
      <c r="S6" s="66"/>
    </row>
    <row r="7" spans="2:19" ht="25.2" customHeight="1" x14ac:dyDescent="0.3">
      <c r="B7" s="2" t="s">
        <v>3</v>
      </c>
      <c r="C7" s="86">
        <v>90511</v>
      </c>
      <c r="D7" s="86"/>
      <c r="E7" s="86"/>
      <c r="F7" s="86"/>
      <c r="G7" s="86"/>
      <c r="H7" s="86"/>
      <c r="I7" s="86"/>
      <c r="J7" s="86"/>
      <c r="K7" s="86"/>
      <c r="L7" s="86"/>
      <c r="M7" s="74" t="s">
        <v>4</v>
      </c>
      <c r="N7" s="74"/>
      <c r="O7" s="74"/>
      <c r="P7" s="67" t="s">
        <v>40</v>
      </c>
      <c r="Q7" s="67"/>
      <c r="R7" s="67"/>
      <c r="S7" s="68"/>
    </row>
    <row r="8" spans="2:19" ht="25.2" customHeight="1" thickBot="1" x14ac:dyDescent="0.35">
      <c r="B8" s="3" t="s">
        <v>5</v>
      </c>
      <c r="C8" s="84" t="s">
        <v>39</v>
      </c>
      <c r="D8" s="84"/>
      <c r="E8" s="84"/>
      <c r="F8" s="84"/>
      <c r="G8" s="84"/>
      <c r="H8" s="84"/>
      <c r="I8" s="84"/>
      <c r="J8" s="84"/>
      <c r="K8" s="84"/>
      <c r="L8" s="84"/>
      <c r="M8" s="75" t="s">
        <v>13</v>
      </c>
      <c r="N8" s="75"/>
      <c r="O8" s="75"/>
      <c r="P8" s="84" t="s">
        <v>37</v>
      </c>
      <c r="Q8" s="84"/>
      <c r="R8" s="84"/>
      <c r="S8" s="85"/>
    </row>
    <row r="9" spans="2:19" ht="15.75" customHeight="1" thickBot="1" x14ac:dyDescent="0.35">
      <c r="B9" s="51" t="s">
        <v>6</v>
      </c>
      <c r="C9" s="52" t="s">
        <v>7</v>
      </c>
      <c r="D9" s="54" t="s">
        <v>8</v>
      </c>
      <c r="E9" s="56" t="s">
        <v>23</v>
      </c>
      <c r="F9" s="56"/>
      <c r="G9" s="56"/>
      <c r="H9" s="56"/>
      <c r="I9" s="56"/>
      <c r="J9" s="54" t="s">
        <v>9</v>
      </c>
      <c r="K9" s="57" t="s">
        <v>14</v>
      </c>
      <c r="L9" s="58"/>
      <c r="M9" s="59" t="s">
        <v>20</v>
      </c>
      <c r="N9" s="52"/>
      <c r="O9" s="52"/>
      <c r="P9" s="52"/>
      <c r="Q9" s="40" t="s">
        <v>21</v>
      </c>
      <c r="R9" s="41"/>
      <c r="S9" s="60" t="s">
        <v>32</v>
      </c>
    </row>
    <row r="10" spans="2:19" ht="25.5" customHeight="1" thickBot="1" x14ac:dyDescent="0.35">
      <c r="B10" s="51"/>
      <c r="C10" s="52"/>
      <c r="D10" s="54"/>
      <c r="E10" s="42" t="s">
        <v>25</v>
      </c>
      <c r="F10" s="63" t="s">
        <v>26</v>
      </c>
      <c r="G10" s="42" t="s">
        <v>27</v>
      </c>
      <c r="H10" s="64" t="s">
        <v>35</v>
      </c>
      <c r="I10" s="64"/>
      <c r="J10" s="54"/>
      <c r="K10" s="63" t="s">
        <v>15</v>
      </c>
      <c r="L10" s="42" t="s">
        <v>16</v>
      </c>
      <c r="M10" s="49" t="s">
        <v>28</v>
      </c>
      <c r="N10" s="63" t="s">
        <v>29</v>
      </c>
      <c r="O10" s="42" t="s">
        <v>30</v>
      </c>
      <c r="P10" s="42" t="s">
        <v>31</v>
      </c>
      <c r="Q10" s="42" t="s">
        <v>22</v>
      </c>
      <c r="R10" s="42" t="s">
        <v>24</v>
      </c>
      <c r="S10" s="61"/>
    </row>
    <row r="11" spans="2:19" ht="25.5" customHeight="1" thickBot="1" x14ac:dyDescent="0.35">
      <c r="B11" s="43"/>
      <c r="C11" s="53"/>
      <c r="D11" s="55"/>
      <c r="E11" s="43"/>
      <c r="F11" s="53"/>
      <c r="G11" s="43"/>
      <c r="H11" s="22" t="s">
        <v>36</v>
      </c>
      <c r="I11" s="5" t="s">
        <v>12</v>
      </c>
      <c r="J11" s="55"/>
      <c r="K11" s="53"/>
      <c r="L11" s="43"/>
      <c r="M11" s="50"/>
      <c r="N11" s="53"/>
      <c r="O11" s="43"/>
      <c r="P11" s="43"/>
      <c r="Q11" s="43"/>
      <c r="R11" s="43"/>
      <c r="S11" s="62"/>
    </row>
    <row r="12" spans="2:19" ht="21.75" customHeight="1" x14ac:dyDescent="0.3">
      <c r="B12" s="28">
        <v>46174</v>
      </c>
      <c r="C12" s="29" t="s">
        <v>37</v>
      </c>
      <c r="D12" s="29" t="s">
        <v>45</v>
      </c>
      <c r="E12" s="30"/>
      <c r="F12" s="30"/>
      <c r="G12" s="30"/>
      <c r="H12" s="29">
        <v>120</v>
      </c>
      <c r="I12" s="30">
        <f>H12*3</f>
        <v>360</v>
      </c>
      <c r="J12" s="29">
        <v>250</v>
      </c>
      <c r="K12" s="30"/>
      <c r="L12" s="30"/>
      <c r="M12" s="30"/>
      <c r="N12" s="30"/>
      <c r="O12" s="30"/>
      <c r="P12" s="30"/>
      <c r="Q12" s="31"/>
      <c r="R12" s="31"/>
      <c r="S12" s="32">
        <f>SUM(I12:R12)</f>
        <v>610</v>
      </c>
    </row>
    <row r="13" spans="2:19" ht="21" customHeight="1" x14ac:dyDescent="0.3">
      <c r="B13" s="28">
        <v>46175</v>
      </c>
      <c r="C13" s="29" t="s">
        <v>37</v>
      </c>
      <c r="D13" s="29" t="s">
        <v>37</v>
      </c>
      <c r="E13" s="30"/>
      <c r="F13" s="24"/>
      <c r="G13" s="24"/>
      <c r="H13" s="29">
        <v>22</v>
      </c>
      <c r="I13" s="30">
        <f t="shared" ref="I13:I41" si="0">H13*3</f>
        <v>66</v>
      </c>
      <c r="J13" s="29">
        <v>200</v>
      </c>
      <c r="K13" s="24"/>
      <c r="L13" s="24"/>
      <c r="M13" s="24"/>
      <c r="N13" s="24"/>
      <c r="O13" s="24"/>
      <c r="P13" s="24"/>
      <c r="Q13" s="33"/>
      <c r="R13" s="33"/>
      <c r="S13" s="32">
        <f t="shared" ref="S13:S41" si="1">SUM(I13:R13)</f>
        <v>266</v>
      </c>
    </row>
    <row r="14" spans="2:19" ht="27" customHeight="1" x14ac:dyDescent="0.3">
      <c r="B14" s="28">
        <v>46176</v>
      </c>
      <c r="C14" s="29" t="s">
        <v>37</v>
      </c>
      <c r="D14" s="29" t="s">
        <v>37</v>
      </c>
      <c r="E14" s="30"/>
      <c r="F14" s="24"/>
      <c r="G14" s="24"/>
      <c r="H14" s="29">
        <v>24</v>
      </c>
      <c r="I14" s="30">
        <f t="shared" si="0"/>
        <v>72</v>
      </c>
      <c r="J14" s="29">
        <v>200</v>
      </c>
      <c r="K14" s="24"/>
      <c r="L14" s="24"/>
      <c r="M14" s="24"/>
      <c r="N14" s="24"/>
      <c r="O14" s="24"/>
      <c r="P14" s="24"/>
      <c r="Q14" s="33"/>
      <c r="R14" s="33"/>
      <c r="S14" s="32">
        <f t="shared" si="1"/>
        <v>272</v>
      </c>
    </row>
    <row r="15" spans="2:19" ht="24.75" customHeight="1" x14ac:dyDescent="0.3">
      <c r="B15" s="28">
        <v>46177</v>
      </c>
      <c r="C15" s="29" t="s">
        <v>37</v>
      </c>
      <c r="D15" s="29" t="s">
        <v>42</v>
      </c>
      <c r="E15" s="30"/>
      <c r="F15" s="24"/>
      <c r="G15" s="24"/>
      <c r="H15" s="29">
        <v>100</v>
      </c>
      <c r="I15" s="30">
        <f t="shared" si="0"/>
        <v>300</v>
      </c>
      <c r="J15" s="29">
        <v>250</v>
      </c>
      <c r="K15" s="24"/>
      <c r="L15" s="24"/>
      <c r="M15" s="24"/>
      <c r="N15" s="24"/>
      <c r="O15" s="24"/>
      <c r="P15" s="24"/>
      <c r="Q15" s="33"/>
      <c r="R15" s="33"/>
      <c r="S15" s="32">
        <f t="shared" si="1"/>
        <v>550</v>
      </c>
    </row>
    <row r="16" spans="2:19" ht="25.2" customHeight="1" x14ac:dyDescent="0.3">
      <c r="B16" s="28">
        <v>46178</v>
      </c>
      <c r="C16" s="29" t="s">
        <v>37</v>
      </c>
      <c r="D16" s="29" t="s">
        <v>37</v>
      </c>
      <c r="E16" s="30"/>
      <c r="F16" s="24"/>
      <c r="G16" s="24"/>
      <c r="H16" s="29">
        <v>26</v>
      </c>
      <c r="I16" s="30">
        <f t="shared" si="0"/>
        <v>78</v>
      </c>
      <c r="J16" s="29">
        <v>200</v>
      </c>
      <c r="K16" s="24"/>
      <c r="L16" s="24"/>
      <c r="M16" s="24"/>
      <c r="N16" s="24"/>
      <c r="O16" s="24"/>
      <c r="P16" s="24"/>
      <c r="Q16" s="33"/>
      <c r="R16" s="33"/>
      <c r="S16" s="32">
        <f t="shared" si="1"/>
        <v>278</v>
      </c>
    </row>
    <row r="17" spans="2:19" ht="25.2" customHeight="1" x14ac:dyDescent="0.3">
      <c r="B17" s="28">
        <v>46179</v>
      </c>
      <c r="C17" s="29" t="s">
        <v>37</v>
      </c>
      <c r="D17" s="29" t="s">
        <v>42</v>
      </c>
      <c r="E17" s="30"/>
      <c r="F17" s="24"/>
      <c r="G17" s="24"/>
      <c r="H17" s="29">
        <v>100</v>
      </c>
      <c r="I17" s="30">
        <f t="shared" si="0"/>
        <v>300</v>
      </c>
      <c r="J17" s="29">
        <v>250</v>
      </c>
      <c r="K17" s="24"/>
      <c r="L17" s="24"/>
      <c r="M17" s="24"/>
      <c r="N17" s="24"/>
      <c r="O17" s="24"/>
      <c r="P17" s="24"/>
      <c r="Q17" s="33"/>
      <c r="R17" s="33"/>
      <c r="S17" s="32">
        <f t="shared" si="1"/>
        <v>550</v>
      </c>
    </row>
    <row r="18" spans="2:19" ht="25.2" customHeight="1" x14ac:dyDescent="0.3">
      <c r="B18" s="28">
        <v>46180</v>
      </c>
      <c r="C18" s="29" t="s">
        <v>37</v>
      </c>
      <c r="D18" s="29" t="s">
        <v>41</v>
      </c>
      <c r="E18" s="30"/>
      <c r="F18" s="24"/>
      <c r="G18" s="24"/>
      <c r="H18" s="29"/>
      <c r="I18" s="30">
        <f t="shared" si="0"/>
        <v>0</v>
      </c>
      <c r="J18" s="29"/>
      <c r="K18" s="24"/>
      <c r="L18" s="24"/>
      <c r="M18" s="24"/>
      <c r="N18" s="24"/>
      <c r="O18" s="24"/>
      <c r="P18" s="24"/>
      <c r="Q18" s="33"/>
      <c r="R18" s="33"/>
      <c r="S18" s="32">
        <f t="shared" si="1"/>
        <v>0</v>
      </c>
    </row>
    <row r="19" spans="2:19" ht="25.2" customHeight="1" x14ac:dyDescent="0.3">
      <c r="B19" s="28">
        <v>46181</v>
      </c>
      <c r="C19" s="29" t="s">
        <v>37</v>
      </c>
      <c r="D19" s="29" t="s">
        <v>42</v>
      </c>
      <c r="E19" s="30"/>
      <c r="F19" s="24"/>
      <c r="G19" s="24"/>
      <c r="H19" s="29">
        <v>100</v>
      </c>
      <c r="I19" s="30">
        <f t="shared" si="0"/>
        <v>300</v>
      </c>
      <c r="J19" s="29">
        <v>250</v>
      </c>
      <c r="K19" s="24"/>
      <c r="L19" s="24"/>
      <c r="M19" s="24"/>
      <c r="N19" s="24"/>
      <c r="O19" s="24"/>
      <c r="P19" s="24"/>
      <c r="Q19" s="33"/>
      <c r="R19" s="33"/>
      <c r="S19" s="32">
        <f t="shared" si="1"/>
        <v>550</v>
      </c>
    </row>
    <row r="20" spans="2:19" ht="25.2" customHeight="1" x14ac:dyDescent="0.3">
      <c r="B20" s="28">
        <v>46182</v>
      </c>
      <c r="C20" s="29" t="s">
        <v>37</v>
      </c>
      <c r="D20" s="29" t="s">
        <v>37</v>
      </c>
      <c r="E20" s="30"/>
      <c r="F20" s="24"/>
      <c r="G20" s="24"/>
      <c r="H20" s="29">
        <v>28</v>
      </c>
      <c r="I20" s="30">
        <f t="shared" si="0"/>
        <v>84</v>
      </c>
      <c r="J20" s="29">
        <v>200</v>
      </c>
      <c r="K20" s="24"/>
      <c r="L20" s="24"/>
      <c r="M20" s="24"/>
      <c r="N20" s="24"/>
      <c r="O20" s="24"/>
      <c r="P20" s="24"/>
      <c r="Q20" s="33"/>
      <c r="R20" s="33"/>
      <c r="S20" s="32">
        <f t="shared" si="1"/>
        <v>284</v>
      </c>
    </row>
    <row r="21" spans="2:19" ht="25.2" customHeight="1" x14ac:dyDescent="0.3">
      <c r="B21" s="28">
        <v>46183</v>
      </c>
      <c r="C21" s="29" t="s">
        <v>37</v>
      </c>
      <c r="D21" s="29" t="s">
        <v>42</v>
      </c>
      <c r="E21" s="30"/>
      <c r="F21" s="24"/>
      <c r="G21" s="24"/>
      <c r="H21" s="29">
        <v>100</v>
      </c>
      <c r="I21" s="30">
        <f t="shared" si="0"/>
        <v>300</v>
      </c>
      <c r="J21" s="29">
        <v>250</v>
      </c>
      <c r="K21" s="24"/>
      <c r="L21" s="24"/>
      <c r="M21" s="24"/>
      <c r="N21" s="24"/>
      <c r="O21" s="24"/>
      <c r="P21" s="24"/>
      <c r="Q21" s="33"/>
      <c r="R21" s="33"/>
      <c r="S21" s="32">
        <f t="shared" si="1"/>
        <v>550</v>
      </c>
    </row>
    <row r="22" spans="2:19" ht="25.2" customHeight="1" x14ac:dyDescent="0.3">
      <c r="B22" s="28">
        <v>46184</v>
      </c>
      <c r="C22" s="29" t="s">
        <v>37</v>
      </c>
      <c r="D22" s="29" t="s">
        <v>37</v>
      </c>
      <c r="E22" s="30"/>
      <c r="F22" s="24"/>
      <c r="G22" s="24"/>
      <c r="H22" s="29">
        <v>26</v>
      </c>
      <c r="I22" s="30">
        <f t="shared" si="0"/>
        <v>78</v>
      </c>
      <c r="J22" s="29">
        <v>200</v>
      </c>
      <c r="K22" s="24"/>
      <c r="L22" s="24"/>
      <c r="M22" s="24"/>
      <c r="N22" s="24"/>
      <c r="O22" s="24"/>
      <c r="P22" s="24"/>
      <c r="Q22" s="33"/>
      <c r="R22" s="33"/>
      <c r="S22" s="32">
        <f t="shared" si="1"/>
        <v>278</v>
      </c>
    </row>
    <row r="23" spans="2:19" ht="25.2" customHeight="1" x14ac:dyDescent="0.3">
      <c r="B23" s="28">
        <v>46185</v>
      </c>
      <c r="C23" s="29" t="s">
        <v>37</v>
      </c>
      <c r="D23" s="29" t="s">
        <v>37</v>
      </c>
      <c r="E23" s="30"/>
      <c r="F23" s="24"/>
      <c r="G23" s="24"/>
      <c r="H23" s="29">
        <v>28</v>
      </c>
      <c r="I23" s="30">
        <f t="shared" si="0"/>
        <v>84</v>
      </c>
      <c r="J23" s="29">
        <v>200</v>
      </c>
      <c r="K23" s="24"/>
      <c r="L23" s="24"/>
      <c r="M23" s="24"/>
      <c r="N23" s="24"/>
      <c r="O23" s="24"/>
      <c r="P23" s="24"/>
      <c r="Q23" s="33"/>
      <c r="R23" s="33"/>
      <c r="S23" s="32">
        <f t="shared" si="1"/>
        <v>284</v>
      </c>
    </row>
    <row r="24" spans="2:19" ht="25.2" customHeight="1" x14ac:dyDescent="0.3">
      <c r="B24" s="28">
        <v>46186</v>
      </c>
      <c r="C24" s="29" t="s">
        <v>37</v>
      </c>
      <c r="D24" s="29" t="s">
        <v>37</v>
      </c>
      <c r="E24" s="30"/>
      <c r="F24" s="24"/>
      <c r="G24" s="24"/>
      <c r="H24" s="29">
        <v>22</v>
      </c>
      <c r="I24" s="30">
        <f t="shared" si="0"/>
        <v>66</v>
      </c>
      <c r="J24" s="29">
        <v>200</v>
      </c>
      <c r="K24" s="24"/>
      <c r="L24" s="24"/>
      <c r="M24" s="24"/>
      <c r="N24" s="24"/>
      <c r="O24" s="24"/>
      <c r="P24" s="24"/>
      <c r="Q24" s="33"/>
      <c r="R24" s="33"/>
      <c r="S24" s="32">
        <f t="shared" si="1"/>
        <v>266</v>
      </c>
    </row>
    <row r="25" spans="2:19" ht="25.2" customHeight="1" x14ac:dyDescent="0.3">
      <c r="B25" s="28">
        <v>46187</v>
      </c>
      <c r="C25" s="29" t="s">
        <v>37</v>
      </c>
      <c r="D25" s="29" t="s">
        <v>41</v>
      </c>
      <c r="E25" s="30"/>
      <c r="F25" s="24"/>
      <c r="G25" s="24"/>
      <c r="H25" s="29"/>
      <c r="I25" s="30">
        <f t="shared" si="0"/>
        <v>0</v>
      </c>
      <c r="J25" s="29"/>
      <c r="K25" s="24"/>
      <c r="L25" s="24"/>
      <c r="M25" s="24"/>
      <c r="N25" s="24"/>
      <c r="O25" s="24"/>
      <c r="P25" s="24"/>
      <c r="Q25" s="33"/>
      <c r="R25" s="33"/>
      <c r="S25" s="32">
        <f t="shared" si="1"/>
        <v>0</v>
      </c>
    </row>
    <row r="26" spans="2:19" ht="25.2" customHeight="1" x14ac:dyDescent="0.3">
      <c r="B26" s="28">
        <v>46188</v>
      </c>
      <c r="C26" s="29" t="s">
        <v>37</v>
      </c>
      <c r="D26" s="29" t="s">
        <v>37</v>
      </c>
      <c r="E26" s="30"/>
      <c r="F26" s="24"/>
      <c r="G26" s="24"/>
      <c r="H26" s="29">
        <v>26</v>
      </c>
      <c r="I26" s="30">
        <f t="shared" si="0"/>
        <v>78</v>
      </c>
      <c r="J26" s="29">
        <v>200</v>
      </c>
      <c r="K26" s="24"/>
      <c r="L26" s="24"/>
      <c r="M26" s="24"/>
      <c r="N26" s="24"/>
      <c r="O26" s="24"/>
      <c r="P26" s="24"/>
      <c r="Q26" s="33"/>
      <c r="R26" s="33"/>
      <c r="S26" s="32">
        <f t="shared" si="1"/>
        <v>278</v>
      </c>
    </row>
    <row r="27" spans="2:19" ht="25.2" customHeight="1" x14ac:dyDescent="0.3">
      <c r="B27" s="28">
        <v>46189</v>
      </c>
      <c r="C27" s="29" t="s">
        <v>37</v>
      </c>
      <c r="D27" s="29" t="s">
        <v>43</v>
      </c>
      <c r="E27" s="30"/>
      <c r="F27" s="24"/>
      <c r="G27" s="24"/>
      <c r="H27" s="29">
        <v>28</v>
      </c>
      <c r="I27" s="30">
        <f t="shared" si="0"/>
        <v>84</v>
      </c>
      <c r="J27" s="29">
        <v>200</v>
      </c>
      <c r="K27" s="24"/>
      <c r="L27" s="24"/>
      <c r="M27" s="24"/>
      <c r="N27" s="24"/>
      <c r="O27" s="24"/>
      <c r="P27" s="24"/>
      <c r="Q27" s="33"/>
      <c r="R27" s="33"/>
      <c r="S27" s="32">
        <f t="shared" si="1"/>
        <v>284</v>
      </c>
    </row>
    <row r="28" spans="2:19" ht="25.2" customHeight="1" x14ac:dyDescent="0.3">
      <c r="B28" s="28">
        <v>46190</v>
      </c>
      <c r="C28" s="29" t="s">
        <v>37</v>
      </c>
      <c r="D28" s="29" t="s">
        <v>37</v>
      </c>
      <c r="E28" s="30"/>
      <c r="F28" s="24"/>
      <c r="G28" s="24"/>
      <c r="H28" s="29">
        <v>28</v>
      </c>
      <c r="I28" s="30">
        <f t="shared" si="0"/>
        <v>84</v>
      </c>
      <c r="J28" s="29">
        <v>200</v>
      </c>
      <c r="K28" s="24"/>
      <c r="L28" s="24"/>
      <c r="M28" s="24"/>
      <c r="N28" s="24"/>
      <c r="O28" s="24"/>
      <c r="P28" s="24"/>
      <c r="Q28" s="33"/>
      <c r="R28" s="33"/>
      <c r="S28" s="32">
        <f t="shared" si="1"/>
        <v>284</v>
      </c>
    </row>
    <row r="29" spans="2:19" ht="25.2" customHeight="1" x14ac:dyDescent="0.3">
      <c r="B29" s="28">
        <v>46191</v>
      </c>
      <c r="C29" s="29" t="s">
        <v>37</v>
      </c>
      <c r="D29" s="29" t="s">
        <v>42</v>
      </c>
      <c r="E29" s="30"/>
      <c r="F29" s="24"/>
      <c r="G29" s="24"/>
      <c r="H29" s="29">
        <v>100</v>
      </c>
      <c r="I29" s="30">
        <f t="shared" si="0"/>
        <v>300</v>
      </c>
      <c r="J29" s="29">
        <v>250</v>
      </c>
      <c r="K29" s="24"/>
      <c r="L29" s="24"/>
      <c r="M29" s="24"/>
      <c r="N29" s="24"/>
      <c r="O29" s="24"/>
      <c r="P29" s="24"/>
      <c r="Q29" s="33"/>
      <c r="R29" s="33"/>
      <c r="S29" s="32">
        <f t="shared" si="1"/>
        <v>550</v>
      </c>
    </row>
    <row r="30" spans="2:19" ht="25.2" customHeight="1" x14ac:dyDescent="0.3">
      <c r="B30" s="28">
        <v>46192</v>
      </c>
      <c r="C30" s="29" t="s">
        <v>37</v>
      </c>
      <c r="D30" s="29" t="s">
        <v>37</v>
      </c>
      <c r="E30" s="30"/>
      <c r="F30" s="24"/>
      <c r="G30" s="24"/>
      <c r="H30" s="29">
        <v>28</v>
      </c>
      <c r="I30" s="30">
        <f t="shared" si="0"/>
        <v>84</v>
      </c>
      <c r="J30" s="29">
        <v>200</v>
      </c>
      <c r="K30" s="24"/>
      <c r="L30" s="24"/>
      <c r="M30" s="24"/>
      <c r="N30" s="24"/>
      <c r="O30" s="24"/>
      <c r="P30" s="24"/>
      <c r="Q30" s="33"/>
      <c r="R30" s="33"/>
      <c r="S30" s="32">
        <f t="shared" si="1"/>
        <v>284</v>
      </c>
    </row>
    <row r="31" spans="2:19" ht="25.2" customHeight="1" x14ac:dyDescent="0.3">
      <c r="B31" s="28">
        <v>46193</v>
      </c>
      <c r="C31" s="29" t="s">
        <v>37</v>
      </c>
      <c r="D31" s="29" t="s">
        <v>46</v>
      </c>
      <c r="E31" s="30"/>
      <c r="F31" s="24"/>
      <c r="G31" s="24"/>
      <c r="H31" s="29"/>
      <c r="I31" s="30">
        <f t="shared" si="0"/>
        <v>0</v>
      </c>
      <c r="J31" s="29"/>
      <c r="K31" s="24"/>
      <c r="L31" s="24"/>
      <c r="M31" s="24"/>
      <c r="N31" s="24"/>
      <c r="O31" s="24"/>
      <c r="P31" s="24"/>
      <c r="Q31" s="33"/>
      <c r="R31" s="33"/>
      <c r="S31" s="32">
        <f t="shared" si="1"/>
        <v>0</v>
      </c>
    </row>
    <row r="32" spans="2:19" ht="25.2" customHeight="1" x14ac:dyDescent="0.3">
      <c r="B32" s="28">
        <v>46194</v>
      </c>
      <c r="C32" s="29" t="s">
        <v>37</v>
      </c>
      <c r="D32" s="29" t="s">
        <v>41</v>
      </c>
      <c r="E32" s="30"/>
      <c r="F32" s="24"/>
      <c r="G32" s="24"/>
      <c r="H32" s="29"/>
      <c r="I32" s="30">
        <f t="shared" si="0"/>
        <v>0</v>
      </c>
      <c r="J32" s="29"/>
      <c r="K32" s="24"/>
      <c r="L32" s="24"/>
      <c r="M32" s="24"/>
      <c r="N32" s="24"/>
      <c r="O32" s="24"/>
      <c r="P32" s="24"/>
      <c r="Q32" s="24"/>
      <c r="R32" s="24"/>
      <c r="S32" s="32">
        <f t="shared" si="1"/>
        <v>0</v>
      </c>
    </row>
    <row r="33" spans="2:19" ht="25.2" customHeight="1" x14ac:dyDescent="0.3">
      <c r="B33" s="28">
        <v>46195</v>
      </c>
      <c r="C33" s="29" t="s">
        <v>37</v>
      </c>
      <c r="D33" s="29" t="s">
        <v>37</v>
      </c>
      <c r="E33" s="30"/>
      <c r="F33" s="24"/>
      <c r="G33" s="24"/>
      <c r="H33" s="29">
        <v>26</v>
      </c>
      <c r="I33" s="30">
        <f t="shared" si="0"/>
        <v>78</v>
      </c>
      <c r="J33" s="29">
        <v>200</v>
      </c>
      <c r="K33" s="24"/>
      <c r="L33" s="24"/>
      <c r="M33" s="24"/>
      <c r="N33" s="24"/>
      <c r="O33" s="24"/>
      <c r="P33" s="24"/>
      <c r="Q33" s="24"/>
      <c r="R33" s="24"/>
      <c r="S33" s="32">
        <f t="shared" si="1"/>
        <v>278</v>
      </c>
    </row>
    <row r="34" spans="2:19" ht="25.2" customHeight="1" x14ac:dyDescent="0.3">
      <c r="B34" s="28">
        <v>46196</v>
      </c>
      <c r="C34" s="29" t="s">
        <v>37</v>
      </c>
      <c r="D34" s="29" t="s">
        <v>37</v>
      </c>
      <c r="E34" s="30"/>
      <c r="F34" s="24"/>
      <c r="G34" s="24"/>
      <c r="H34" s="29">
        <v>26</v>
      </c>
      <c r="I34" s="30">
        <f t="shared" si="0"/>
        <v>78</v>
      </c>
      <c r="J34" s="29">
        <v>200</v>
      </c>
      <c r="K34" s="24"/>
      <c r="L34" s="24"/>
      <c r="M34" s="24"/>
      <c r="N34" s="24"/>
      <c r="O34" s="24"/>
      <c r="P34" s="24"/>
      <c r="Q34" s="24"/>
      <c r="R34" s="24"/>
      <c r="S34" s="32">
        <f t="shared" si="1"/>
        <v>278</v>
      </c>
    </row>
    <row r="35" spans="2:19" ht="25.2" customHeight="1" x14ac:dyDescent="0.3">
      <c r="B35" s="28">
        <v>46197</v>
      </c>
      <c r="C35" s="29" t="s">
        <v>37</v>
      </c>
      <c r="D35" s="29" t="s">
        <v>37</v>
      </c>
      <c r="E35" s="30"/>
      <c r="F35" s="24"/>
      <c r="G35" s="24"/>
      <c r="H35" s="29">
        <v>24</v>
      </c>
      <c r="I35" s="30">
        <f t="shared" si="0"/>
        <v>72</v>
      </c>
      <c r="J35" s="29">
        <v>200</v>
      </c>
      <c r="K35" s="24"/>
      <c r="L35" s="24"/>
      <c r="M35" s="24"/>
      <c r="N35" s="24"/>
      <c r="O35" s="24"/>
      <c r="P35" s="24"/>
      <c r="Q35" s="24"/>
      <c r="R35" s="24"/>
      <c r="S35" s="32">
        <f t="shared" si="1"/>
        <v>272</v>
      </c>
    </row>
    <row r="36" spans="2:19" ht="25.2" customHeight="1" x14ac:dyDescent="0.3">
      <c r="B36" s="28">
        <v>46198</v>
      </c>
      <c r="C36" s="29" t="s">
        <v>37</v>
      </c>
      <c r="D36" s="29" t="s">
        <v>42</v>
      </c>
      <c r="E36" s="30"/>
      <c r="F36" s="24"/>
      <c r="G36" s="24"/>
      <c r="H36" s="29">
        <v>100</v>
      </c>
      <c r="I36" s="30">
        <f t="shared" si="0"/>
        <v>300</v>
      </c>
      <c r="J36" s="29">
        <v>250</v>
      </c>
      <c r="K36" s="24"/>
      <c r="L36" s="24"/>
      <c r="M36" s="24"/>
      <c r="N36" s="24"/>
      <c r="O36" s="24"/>
      <c r="P36" s="24"/>
      <c r="Q36" s="24"/>
      <c r="R36" s="24"/>
      <c r="S36" s="32">
        <f t="shared" si="1"/>
        <v>550</v>
      </c>
    </row>
    <row r="37" spans="2:19" ht="25.2" customHeight="1" x14ac:dyDescent="0.3">
      <c r="B37" s="28">
        <v>46199</v>
      </c>
      <c r="C37" s="29" t="s">
        <v>37</v>
      </c>
      <c r="D37" s="29" t="s">
        <v>37</v>
      </c>
      <c r="E37" s="30"/>
      <c r="F37" s="24"/>
      <c r="G37" s="24"/>
      <c r="H37" s="29">
        <v>26</v>
      </c>
      <c r="I37" s="30">
        <f t="shared" si="0"/>
        <v>78</v>
      </c>
      <c r="J37" s="29">
        <v>200</v>
      </c>
      <c r="K37" s="24"/>
      <c r="L37" s="24"/>
      <c r="M37" s="24"/>
      <c r="N37" s="24"/>
      <c r="O37" s="24"/>
      <c r="P37" s="24"/>
      <c r="Q37" s="24"/>
      <c r="R37" s="24"/>
      <c r="S37" s="32">
        <f t="shared" si="1"/>
        <v>278</v>
      </c>
    </row>
    <row r="38" spans="2:19" ht="25.2" customHeight="1" x14ac:dyDescent="0.3">
      <c r="B38" s="28">
        <v>46200</v>
      </c>
      <c r="C38" s="29" t="s">
        <v>37</v>
      </c>
      <c r="D38" s="29" t="s">
        <v>42</v>
      </c>
      <c r="E38" s="30"/>
      <c r="F38" s="24"/>
      <c r="G38" s="24"/>
      <c r="H38" s="29">
        <v>100</v>
      </c>
      <c r="I38" s="30">
        <f t="shared" si="0"/>
        <v>300</v>
      </c>
      <c r="J38" s="29">
        <v>250</v>
      </c>
      <c r="K38" s="24"/>
      <c r="L38" s="24"/>
      <c r="M38" s="24"/>
      <c r="N38" s="24"/>
      <c r="O38" s="24"/>
      <c r="P38" s="24"/>
      <c r="Q38" s="24"/>
      <c r="R38" s="24"/>
      <c r="S38" s="32">
        <f t="shared" si="1"/>
        <v>550</v>
      </c>
    </row>
    <row r="39" spans="2:19" ht="25.2" customHeight="1" x14ac:dyDescent="0.3">
      <c r="B39" s="28">
        <v>46201</v>
      </c>
      <c r="C39" s="29" t="s">
        <v>37</v>
      </c>
      <c r="D39" s="29" t="s">
        <v>41</v>
      </c>
      <c r="E39" s="30"/>
      <c r="F39" s="24"/>
      <c r="G39" s="24"/>
      <c r="H39" s="29"/>
      <c r="I39" s="30">
        <f t="shared" si="0"/>
        <v>0</v>
      </c>
      <c r="J39" s="29"/>
      <c r="K39" s="24"/>
      <c r="L39" s="24"/>
      <c r="M39" s="24"/>
      <c r="N39" s="24"/>
      <c r="O39" s="24"/>
      <c r="P39" s="24"/>
      <c r="Q39" s="24"/>
      <c r="R39" s="24"/>
      <c r="S39" s="32">
        <f t="shared" si="1"/>
        <v>0</v>
      </c>
    </row>
    <row r="40" spans="2:19" ht="25.2" customHeight="1" x14ac:dyDescent="0.3">
      <c r="B40" s="28">
        <v>46202</v>
      </c>
      <c r="C40" s="29" t="s">
        <v>37</v>
      </c>
      <c r="D40" s="29" t="s">
        <v>42</v>
      </c>
      <c r="E40" s="30"/>
      <c r="F40" s="24"/>
      <c r="G40" s="24"/>
      <c r="H40" s="29">
        <v>100</v>
      </c>
      <c r="I40" s="30">
        <f t="shared" si="0"/>
        <v>300</v>
      </c>
      <c r="J40" s="29">
        <v>250</v>
      </c>
      <c r="K40" s="24"/>
      <c r="L40" s="24"/>
      <c r="M40" s="24"/>
      <c r="N40" s="24"/>
      <c r="O40" s="24"/>
      <c r="P40" s="24"/>
      <c r="Q40" s="24"/>
      <c r="R40" s="24"/>
      <c r="S40" s="32">
        <f t="shared" si="1"/>
        <v>550</v>
      </c>
    </row>
    <row r="41" spans="2:19" ht="18.75" customHeight="1" x14ac:dyDescent="0.3">
      <c r="B41" s="28">
        <v>46203</v>
      </c>
      <c r="C41" s="29" t="s">
        <v>37</v>
      </c>
      <c r="D41" s="29" t="s">
        <v>37</v>
      </c>
      <c r="E41" s="30"/>
      <c r="F41" s="24"/>
      <c r="G41" s="24"/>
      <c r="H41" s="29">
        <v>22</v>
      </c>
      <c r="I41" s="30">
        <f t="shared" si="0"/>
        <v>66</v>
      </c>
      <c r="J41" s="29">
        <v>200</v>
      </c>
      <c r="K41" s="24"/>
      <c r="L41" s="24"/>
      <c r="M41" s="24"/>
      <c r="N41" s="24"/>
      <c r="O41" s="24"/>
      <c r="P41" s="24"/>
      <c r="Q41" s="24"/>
      <c r="R41" s="24"/>
      <c r="S41" s="32">
        <f t="shared" si="1"/>
        <v>266</v>
      </c>
    </row>
    <row r="42" spans="2:19" ht="20.25" customHeight="1" x14ac:dyDescent="0.3">
      <c r="B42" s="28"/>
      <c r="C42" s="29"/>
      <c r="D42" s="34"/>
      <c r="E42" s="30"/>
      <c r="F42" s="35"/>
      <c r="G42" s="35"/>
      <c r="H42" s="34"/>
      <c r="I42" s="30"/>
      <c r="J42" s="34"/>
      <c r="K42" s="35"/>
      <c r="L42" s="35"/>
      <c r="M42" s="35"/>
      <c r="N42" s="35"/>
      <c r="O42" s="35"/>
      <c r="P42" s="35"/>
      <c r="Q42" s="35"/>
      <c r="R42" s="35"/>
      <c r="S42" s="32"/>
    </row>
    <row r="43" spans="2:19" ht="25.2" customHeight="1" x14ac:dyDescent="0.3">
      <c r="B43" s="81"/>
      <c r="C43" s="81"/>
      <c r="D43" s="81"/>
      <c r="E43" s="37"/>
      <c r="F43" s="37"/>
      <c r="G43" s="37"/>
      <c r="H43" s="37">
        <f>SUM(H12:H42)</f>
        <v>1330</v>
      </c>
      <c r="I43" s="37">
        <f>SUM(I12:I42)</f>
        <v>3990</v>
      </c>
      <c r="J43" s="37">
        <f>SUM(J12:J42)</f>
        <v>5450</v>
      </c>
      <c r="K43" s="37"/>
      <c r="L43" s="37"/>
      <c r="M43" s="37"/>
      <c r="N43" s="37"/>
      <c r="O43" s="37"/>
      <c r="P43" s="37"/>
      <c r="Q43" s="37"/>
      <c r="R43" s="37"/>
      <c r="S43" s="38">
        <f>SUM(S12:S42)</f>
        <v>9440</v>
      </c>
    </row>
    <row r="44" spans="2:19" ht="25.2" customHeight="1" thickBot="1" x14ac:dyDescent="0.35">
      <c r="B44" s="27"/>
      <c r="C44" s="27"/>
      <c r="D44" s="27"/>
      <c r="E44" s="27"/>
      <c r="F44" s="27"/>
      <c r="G44" s="27"/>
      <c r="H44" s="27"/>
      <c r="I44" s="27"/>
      <c r="J44" s="7"/>
      <c r="K44" s="7"/>
      <c r="L44" s="7"/>
      <c r="M44" s="7"/>
      <c r="N44" s="7"/>
      <c r="O44" s="7"/>
      <c r="P44" s="7"/>
      <c r="Q44" s="82" t="s">
        <v>10</v>
      </c>
      <c r="R44" s="83"/>
      <c r="S44" s="25">
        <v>500</v>
      </c>
    </row>
    <row r="45" spans="2:19" s="4" customFormat="1" ht="25.2" customHeight="1" thickBot="1" x14ac:dyDescent="0.3">
      <c r="B45" s="27"/>
      <c r="C45" s="27"/>
      <c r="D45" s="27"/>
      <c r="E45" s="27"/>
      <c r="F45" s="27"/>
      <c r="G45" s="27"/>
      <c r="H45" s="27"/>
      <c r="I45" s="27"/>
      <c r="J45" s="27"/>
      <c r="K45" s="7"/>
      <c r="L45" s="7"/>
      <c r="M45" s="7"/>
      <c r="N45" s="7"/>
      <c r="O45" s="7"/>
      <c r="P45" s="7"/>
      <c r="Q45" s="46" t="s">
        <v>44</v>
      </c>
      <c r="R45" s="47"/>
      <c r="S45" s="26">
        <f>S43+S44</f>
        <v>9940</v>
      </c>
    </row>
    <row r="46" spans="2:19" ht="25.2" customHeight="1" x14ac:dyDescent="0.3">
      <c r="B46" s="27"/>
      <c r="C46" s="27"/>
      <c r="D46" s="27"/>
      <c r="E46" s="27"/>
      <c r="F46" s="27"/>
      <c r="G46" s="27"/>
      <c r="H46" s="27"/>
      <c r="I46" s="2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2:19" ht="25.2" customHeight="1" x14ac:dyDescent="0.3"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36"/>
      <c r="R47" s="36"/>
      <c r="S47" s="36"/>
    </row>
    <row r="48" spans="2:19" ht="25.2" customHeight="1" x14ac:dyDescent="0.3"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36"/>
      <c r="R48" s="36"/>
      <c r="S48" s="36"/>
    </row>
    <row r="49" spans="2:19" ht="25.2" customHeight="1" x14ac:dyDescent="0.3">
      <c r="B49" s="27" t="s">
        <v>18</v>
      </c>
      <c r="C49" s="7"/>
      <c r="D49" s="7"/>
      <c r="E49" s="7" t="s">
        <v>34</v>
      </c>
      <c r="F49" s="7"/>
      <c r="G49" s="7"/>
      <c r="H49" s="7"/>
      <c r="I49" s="7"/>
      <c r="J49" s="7"/>
      <c r="K49" s="7"/>
      <c r="L49" s="7" t="s">
        <v>34</v>
      </c>
      <c r="M49" s="7"/>
      <c r="N49" s="7"/>
      <c r="O49" s="7"/>
      <c r="P49" s="7"/>
      <c r="Q49" s="39" t="s">
        <v>19</v>
      </c>
      <c r="R49" s="39"/>
      <c r="S49" s="39"/>
    </row>
    <row r="50" spans="2:19" ht="25.2" customHeight="1" x14ac:dyDescent="0.3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</row>
  </sheetData>
  <mergeCells count="38">
    <mergeCell ref="C7:L7"/>
    <mergeCell ref="M7:O7"/>
    <mergeCell ref="P7:S7"/>
    <mergeCell ref="B3:S3"/>
    <mergeCell ref="B4:S4"/>
    <mergeCell ref="C6:L6"/>
    <mergeCell ref="M6:O6"/>
    <mergeCell ref="P6:S6"/>
    <mergeCell ref="C8:L8"/>
    <mergeCell ref="M8:O8"/>
    <mergeCell ref="P8:S8"/>
    <mergeCell ref="B9:B11"/>
    <mergeCell ref="C9:C11"/>
    <mergeCell ref="D9:D11"/>
    <mergeCell ref="E9:I9"/>
    <mergeCell ref="J9:J11"/>
    <mergeCell ref="K9:L9"/>
    <mergeCell ref="M9:P9"/>
    <mergeCell ref="Q9:R9"/>
    <mergeCell ref="S9:S11"/>
    <mergeCell ref="E10:E11"/>
    <mergeCell ref="F10:F11"/>
    <mergeCell ref="G10:G11"/>
    <mergeCell ref="H10:I10"/>
    <mergeCell ref="B47:P47"/>
    <mergeCell ref="B48:P48"/>
    <mergeCell ref="Q49:S49"/>
    <mergeCell ref="O10:O11"/>
    <mergeCell ref="P10:P11"/>
    <mergeCell ref="Q10:Q11"/>
    <mergeCell ref="R10:R11"/>
    <mergeCell ref="B43:D43"/>
    <mergeCell ref="Q44:R44"/>
    <mergeCell ref="K10:K11"/>
    <mergeCell ref="L10:L11"/>
    <mergeCell ref="M10:M11"/>
    <mergeCell ref="N10:N11"/>
    <mergeCell ref="Q45:R4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TSM,SO,TSI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Neelima</dc:creator>
  <cp:lastModifiedBy>Dhanraj Sahu</cp:lastModifiedBy>
  <cp:lastPrinted>2023-12-06T05:36:30Z</cp:lastPrinted>
  <dcterms:created xsi:type="dcterms:W3CDTF">2020-02-27T07:18:02Z</dcterms:created>
  <dcterms:modified xsi:type="dcterms:W3CDTF">2026-07-04T05:36:54Z</dcterms:modified>
</cp:coreProperties>
</file>